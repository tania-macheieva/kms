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брика" sheetId="1" state="visible" r:id="rId1"/>
    <sheet name="Оцінки" sheetId="2" state="visible" r:id="rId2"/>
    <sheet name="Узгодженість" sheetId="3" state="visible" r:id="rId3"/>
    <sheet name="Зауваження" sheetId="4" state="visible" r:id="rId4"/>
    <sheet name="Precision-Recall" sheetId="5" state="visible" r:id="rId5"/>
    <sheet name="Статистика кар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Критерій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</row>
    <row r="2">
      <c r="A2" s="2" t="inlineStr">
        <is>
          <t>D1 Пропозиції (кількість і коректність; зв'язок підписано дієсловом, змістовно й точно)</t>
        </is>
      </c>
      <c r="B2" s="2" t="inlineStr">
        <is>
          <t>немає</t>
        </is>
      </c>
      <c r="C2" s="2" t="inlineStr">
        <is>
          <t>кілька, багато неточних</t>
        </is>
      </c>
      <c r="D2" s="2" t="inlineStr">
        <is>
          <t>≥ 15, помітна частка неточних або дублікатів</t>
        </is>
      </c>
      <c r="E2" s="2" t="inlineStr">
        <is>
          <t>≥ 30, переважно точні</t>
        </is>
      </c>
      <c r="F2" s="2" t="inlineStr">
        <is>
          <t>≥ 30, майже всі точні, змістовні, без дублювання</t>
        </is>
      </c>
    </row>
    <row r="3">
      <c r="A3" s="2" t="inlineStr">
        <is>
          <t>D2 Ієрархія (від загальних до часткових; ≥ 3 рівні; послідовність)</t>
        </is>
      </c>
      <c r="B3" s="2" t="inlineStr">
        <is>
          <t>плоска</t>
        </is>
      </c>
      <c r="C3" s="2" t="inlineStr">
        <is>
          <t>є натяки на ієрархію</t>
        </is>
      </c>
      <c r="D3" s="2" t="inlineStr">
        <is>
          <t>2 рівні</t>
        </is>
      </c>
      <c r="E3" s="2" t="inlineStr">
        <is>
          <t>3 рівні, місцями непослідовно</t>
        </is>
      </c>
      <c r="F3" s="2" t="inlineStr">
        <is>
          <t>≥ 3 чіткі послідовні рівні</t>
        </is>
      </c>
    </row>
    <row r="4">
      <c r="A4" s="2" t="inlineStr">
        <is>
          <t>D3 Крос-зв'язки (між різними частинами карти, змістовні, з поясненням)</t>
        </is>
      </c>
      <c r="B4" s="2" t="inlineStr">
        <is>
          <t>немає</t>
        </is>
      </c>
      <c r="C4" s="2" t="inlineStr">
        <is>
          <t>1 слабкий</t>
        </is>
      </c>
      <c r="D4" s="2" t="inlineStr">
        <is>
          <t>1–2 змістовні без пояснень</t>
        </is>
      </c>
      <c r="E4" s="2" t="inlineStr">
        <is>
          <t>≥ 3 змістовні</t>
        </is>
      </c>
      <c r="F4" s="2" t="inlineStr">
        <is>
          <t>≥ 3 змістовні, пояснені, нетривіальні</t>
        </is>
      </c>
    </row>
    <row r="5">
      <c r="A5" s="2" t="inlineStr">
        <is>
          <t>D4 Приклади (екземпляри, конкретні значення)</t>
        </is>
      </c>
      <c r="B5" s="2" t="inlineStr">
        <is>
          <t>немає</t>
        </is>
      </c>
      <c r="C5" s="2" t="inlineStr">
        <is>
          <t>1–2</t>
        </is>
      </c>
      <c r="D5" s="2" t="inlineStr">
        <is>
          <t>3–4</t>
        </is>
      </c>
      <c r="E5" s="2" t="inlineStr">
        <is>
          <t>≥ 5, частина нерелевантна</t>
        </is>
      </c>
      <c r="F5" s="2" t="inlineStr">
        <is>
          <t>≥ 5 конкретних релевантних</t>
        </is>
      </c>
    </row>
    <row r="6">
      <c r="A6" s="2" t="inlineStr">
        <is>
          <t>D5 Покриття CQ (скільки з 18 CQ карта дозволяє відповісти повністю)</t>
        </is>
      </c>
      <c r="B6" s="2" t="inlineStr">
        <is>
          <t>0</t>
        </is>
      </c>
      <c r="C6" s="2" t="inlineStr">
        <is>
          <t>1–2</t>
        </is>
      </c>
      <c r="D6" s="2" t="inlineStr">
        <is>
          <t>3–4</t>
        </is>
      </c>
      <c r="E6" s="2" t="inlineStr">
        <is>
          <t>5–7</t>
        </is>
      </c>
      <c r="F6" s="2" t="inlineStr">
        <is>
          <t>≥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26" customWidth="1" min="5" max="5"/>
    <col width="16" customWidth="1" min="6" max="6"/>
    <col width="16" customWidth="1" min="7" max="7"/>
  </cols>
  <sheetData>
    <row r="1">
      <c r="A1" s="1" t="inlineStr">
        <is>
          <t>Карта</t>
        </is>
      </c>
      <c r="B1" s="1" t="inlineStr">
        <is>
          <t>Критерій</t>
        </is>
      </c>
      <c r="C1" s="1" t="inlineStr">
        <is>
          <t>Оцінювач 1</t>
        </is>
      </c>
      <c r="D1" s="1" t="inlineStr">
        <is>
          <t>Оцінювач 2</t>
        </is>
      </c>
      <c r="E1" s="1" t="inlineStr">
        <is>
          <t>Людина-оцінювач (заповнити)</t>
        </is>
      </c>
      <c r="F1" s="1" t="inlineStr">
        <is>
          <t>|різниця| (1–2)</t>
        </is>
      </c>
      <c r="G1" s="1" t="inlineStr">
        <is>
          <t>Середнє (1–2)</t>
        </is>
      </c>
    </row>
    <row r="2">
      <c r="A2" s="2" t="inlineStr">
        <is>
          <t>Власна (експертна v1)</t>
        </is>
      </c>
      <c r="B2" s="2" t="inlineStr">
        <is>
          <t>D1</t>
        </is>
      </c>
      <c r="C2" s="2" t="n">
        <v>3</v>
      </c>
      <c r="D2" s="2" t="n">
        <v>3</v>
      </c>
      <c r="E2" s="2" t="n"/>
      <c r="F2" s="2">
        <f>ABS(C2-D2)</f>
        <v/>
      </c>
      <c r="G2" s="2">
        <f>AVERAGE(C2:D2)</f>
        <v/>
      </c>
    </row>
    <row r="3">
      <c r="A3" s="2" t="inlineStr">
        <is>
          <t>Власна (експертна v1)</t>
        </is>
      </c>
      <c r="B3" s="2" t="inlineStr">
        <is>
          <t>D2</t>
        </is>
      </c>
      <c r="C3" s="2" t="n">
        <v>3</v>
      </c>
      <c r="D3" s="2" t="n">
        <v>4</v>
      </c>
      <c r="E3" s="2" t="n"/>
      <c r="F3" s="2">
        <f>ABS(C3-D3)</f>
        <v/>
      </c>
      <c r="G3" s="2">
        <f>AVERAGE(C3:D3)</f>
        <v/>
      </c>
    </row>
    <row r="4">
      <c r="A4" s="2" t="inlineStr">
        <is>
          <t>Власна (експертна v1)</t>
        </is>
      </c>
      <c r="B4" s="2" t="inlineStr">
        <is>
          <t>D3</t>
        </is>
      </c>
      <c r="C4" s="2" t="n">
        <v>3</v>
      </c>
      <c r="D4" s="2" t="n">
        <v>4</v>
      </c>
      <c r="E4" s="2" t="n"/>
      <c r="F4" s="2">
        <f>ABS(C4-D4)</f>
        <v/>
      </c>
      <c r="G4" s="2">
        <f>AVERAGE(C4:D4)</f>
        <v/>
      </c>
    </row>
    <row r="5">
      <c r="A5" s="2" t="inlineStr">
        <is>
          <t>Власна (експертна v1)</t>
        </is>
      </c>
      <c r="B5" s="2" t="inlineStr">
        <is>
          <t>D4</t>
        </is>
      </c>
      <c r="C5" s="2" t="n">
        <v>4</v>
      </c>
      <c r="D5" s="2" t="n">
        <v>4</v>
      </c>
      <c r="E5" s="2" t="n"/>
      <c r="F5" s="2">
        <f>ABS(C5-D5)</f>
        <v/>
      </c>
      <c r="G5" s="2">
        <f>AVERAGE(C5:D5)</f>
        <v/>
      </c>
    </row>
    <row r="6">
      <c r="A6" s="2" t="inlineStr">
        <is>
          <t>Власна (експертна v1)</t>
        </is>
      </c>
      <c r="B6" s="2" t="inlineStr">
        <is>
          <t>D5</t>
        </is>
      </c>
      <c r="C6" s="2" t="n">
        <v>3</v>
      </c>
      <c r="D6" s="2" t="n">
        <v>3</v>
      </c>
      <c r="E6" s="2" t="n"/>
      <c r="F6" s="2">
        <f>ABS(C6-D6)</f>
        <v/>
      </c>
      <c r="G6" s="2">
        <f>AVERAGE(C6:D6)</f>
        <v/>
      </c>
    </row>
    <row r="7">
      <c r="A7" s="2" t="inlineStr">
        <is>
          <t>LLM-карта</t>
        </is>
      </c>
      <c r="B7" s="2" t="inlineStr">
        <is>
          <t>D1</t>
        </is>
      </c>
      <c r="C7" s="2" t="n">
        <v>3</v>
      </c>
      <c r="D7" s="2" t="n">
        <v>3</v>
      </c>
      <c r="E7" s="2" t="n"/>
      <c r="F7" s="2">
        <f>ABS(C7-D7)</f>
        <v/>
      </c>
      <c r="G7" s="2">
        <f>AVERAGE(C7:D7)</f>
        <v/>
      </c>
    </row>
    <row r="8">
      <c r="A8" s="2" t="inlineStr">
        <is>
          <t>LLM-карта</t>
        </is>
      </c>
      <c r="B8" s="2" t="inlineStr">
        <is>
          <t>D2</t>
        </is>
      </c>
      <c r="C8" s="2" t="n">
        <v>2</v>
      </c>
      <c r="D8" s="2" t="n">
        <v>3</v>
      </c>
      <c r="E8" s="2" t="n"/>
      <c r="F8" s="2">
        <f>ABS(C8-D8)</f>
        <v/>
      </c>
      <c r="G8" s="2">
        <f>AVERAGE(C8:D8)</f>
        <v/>
      </c>
    </row>
    <row r="9">
      <c r="A9" s="2" t="inlineStr">
        <is>
          <t>LLM-карта</t>
        </is>
      </c>
      <c r="B9" s="2" t="inlineStr">
        <is>
          <t>D3</t>
        </is>
      </c>
      <c r="C9" s="2" t="n">
        <v>1</v>
      </c>
      <c r="D9" s="2" t="n">
        <v>3</v>
      </c>
      <c r="E9" s="2" t="n"/>
      <c r="F9" s="2">
        <f>ABS(C9-D9)</f>
        <v/>
      </c>
      <c r="G9" s="2">
        <f>AVERAGE(C9:D9)</f>
        <v/>
      </c>
    </row>
    <row r="10">
      <c r="A10" s="2" t="inlineStr">
        <is>
          <t>LLM-карта</t>
        </is>
      </c>
      <c r="B10" s="2" t="inlineStr">
        <is>
          <t>D4</t>
        </is>
      </c>
      <c r="C10" s="2" t="n">
        <v>2</v>
      </c>
      <c r="D10" s="2" t="n">
        <v>2</v>
      </c>
      <c r="E10" s="2" t="n"/>
      <c r="F10" s="2">
        <f>ABS(C10-D10)</f>
        <v/>
      </c>
      <c r="G10" s="2">
        <f>AVERAGE(C10:D10)</f>
        <v/>
      </c>
    </row>
    <row r="11">
      <c r="A11" s="2" t="inlineStr">
        <is>
          <t>LLM-карта</t>
        </is>
      </c>
      <c r="B11" s="2" t="inlineStr">
        <is>
          <t>D5</t>
        </is>
      </c>
      <c r="C11" s="2" t="n">
        <v>1</v>
      </c>
      <c r="D11" s="2" t="n">
        <v>1</v>
      </c>
      <c r="E11" s="2" t="n"/>
      <c r="F11" s="2">
        <f>ABS(C11-D11)</f>
        <v/>
      </c>
      <c r="G11" s="2">
        <f>AVERAGE(C11:D11)</f>
        <v/>
      </c>
    </row>
    <row r="12">
      <c r="A12" s="2" t="inlineStr">
        <is>
          <t>Карта «колеги» (LLM-замінник)</t>
        </is>
      </c>
      <c r="B12" s="2" t="inlineStr">
        <is>
          <t>D1</t>
        </is>
      </c>
      <c r="C12" s="2" t="n">
        <v>3</v>
      </c>
      <c r="D12" s="2" t="n">
        <v>3</v>
      </c>
      <c r="E12" s="2" t="n"/>
      <c r="F12" s="2">
        <f>ABS(C12-D12)</f>
        <v/>
      </c>
      <c r="G12" s="2">
        <f>AVERAGE(C12:D12)</f>
        <v/>
      </c>
    </row>
    <row r="13">
      <c r="A13" s="2" t="inlineStr">
        <is>
          <t>Карта «колеги» (LLM-замінник)</t>
        </is>
      </c>
      <c r="B13" s="2" t="inlineStr">
        <is>
          <t>D2</t>
        </is>
      </c>
      <c r="C13" s="2" t="n">
        <v>3</v>
      </c>
      <c r="D13" s="2" t="n">
        <v>4</v>
      </c>
      <c r="E13" s="2" t="n"/>
      <c r="F13" s="2">
        <f>ABS(C13-D13)</f>
        <v/>
      </c>
      <c r="G13" s="2">
        <f>AVERAGE(C13:D13)</f>
        <v/>
      </c>
    </row>
    <row r="14">
      <c r="A14" s="2" t="inlineStr">
        <is>
          <t>Карта «колеги» (LLM-замінник)</t>
        </is>
      </c>
      <c r="B14" s="2" t="inlineStr">
        <is>
          <t>D3</t>
        </is>
      </c>
      <c r="C14" s="2" t="n">
        <v>4</v>
      </c>
      <c r="D14" s="2" t="n">
        <v>4</v>
      </c>
      <c r="E14" s="2" t="n"/>
      <c r="F14" s="2">
        <f>ABS(C14-D14)</f>
        <v/>
      </c>
      <c r="G14" s="2">
        <f>AVERAGE(C14:D14)</f>
        <v/>
      </c>
    </row>
    <row r="15">
      <c r="A15" s="2" t="inlineStr">
        <is>
          <t>Карта «колеги» (LLM-замінник)</t>
        </is>
      </c>
      <c r="B15" s="2" t="inlineStr">
        <is>
          <t>D4</t>
        </is>
      </c>
      <c r="C15" s="2" t="n">
        <v>4</v>
      </c>
      <c r="D15" s="2" t="n">
        <v>4</v>
      </c>
      <c r="E15" s="2" t="n"/>
      <c r="F15" s="2">
        <f>ABS(C15-D15)</f>
        <v/>
      </c>
      <c r="G15" s="2">
        <f>AVERAGE(C15:D15)</f>
        <v/>
      </c>
    </row>
    <row r="16">
      <c r="A16" s="2" t="inlineStr">
        <is>
          <t>Карта «колеги» (LLM-замінник)</t>
        </is>
      </c>
      <c r="B16" s="2" t="inlineStr">
        <is>
          <t>D5</t>
        </is>
      </c>
      <c r="C16" s="2" t="n">
        <v>3</v>
      </c>
      <c r="D16" s="2" t="n">
        <v>3</v>
      </c>
      <c r="E16" s="2" t="n"/>
      <c r="F16" s="2">
        <f>ABS(C16-D16)</f>
        <v/>
      </c>
      <c r="G16" s="2">
        <f>AVERAGE(C16:D16)</f>
        <v/>
      </c>
    </row>
    <row r="18">
      <c r="A18" s="3" t="inlineStr">
        <is>
          <t>Сума — Власна (експертна v1)</t>
        </is>
      </c>
      <c r="C18">
        <f>SUM(C2:C6)</f>
        <v/>
      </c>
      <c r="D18">
        <f>SUM(D2:D6)</f>
        <v/>
      </c>
    </row>
    <row r="19">
      <c r="A19" t="inlineStr">
        <is>
          <t>Сума — LLM-карта</t>
        </is>
      </c>
      <c r="C19">
        <f>SUM(C7:C11)</f>
        <v/>
      </c>
      <c r="D19">
        <f>SUM(D7:D11)</f>
        <v/>
      </c>
    </row>
    <row r="20">
      <c r="A20" t="inlineStr">
        <is>
          <t>Сума — Карта «колеги» (LLM-замінник)</t>
        </is>
      </c>
      <c r="C20">
        <f>SUM(C12:C16)</f>
        <v/>
      </c>
      <c r="D20">
        <f>SUM(D12:D16)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80" customWidth="1" min="4" max="4"/>
  </cols>
  <sheetData>
    <row r="1">
      <c r="A1" s="1" t="inlineStr">
        <is>
          <t>Показник</t>
        </is>
      </c>
      <c r="B1" s="1" t="inlineStr">
        <is>
          <t>Формула в Excel</t>
        </is>
      </c>
      <c r="C1" s="1" t="inlineStr">
        <is>
          <t>Значення (Python)</t>
        </is>
      </c>
      <c r="D1" s="1" t="inlineStr">
        <is>
          <t>Інтерпретація</t>
        </is>
      </c>
    </row>
    <row r="2">
      <c r="A2" s="2" t="inlineStr">
        <is>
          <t>Середня |різниця|</t>
        </is>
      </c>
      <c r="B2" s="2">
        <f>AVERAGE(Оцінки!F2:F16)</f>
        <v/>
      </c>
      <c r="C2" s="2" t="n">
        <v>0.4</v>
      </c>
      <c r="D2" s="2" t="inlineStr">
        <is>
          <t>У середньому оцінювачі розходяться на 0,4 бала зі шкали 0–4: розбіжності малі.</t>
        </is>
      </c>
    </row>
    <row r="3">
      <c r="A3" s="2" t="inlineStr">
        <is>
          <t>Точний збіг</t>
        </is>
      </c>
      <c r="B3" s="2">
        <f>COUNTIF(Оцінки!F2:F16,0)/15</f>
        <v/>
      </c>
      <c r="C3" s="2" t="n">
        <v>0.667</v>
      </c>
      <c r="D3" s="2" t="inlineStr">
        <is>
          <t>Дві третини оцінок ідентичні.</t>
        </is>
      </c>
    </row>
    <row r="4">
      <c r="A4" s="2" t="inlineStr">
        <is>
          <t>Збіг в межах 1 бала</t>
        </is>
      </c>
      <c r="B4" s="2">
        <f>COUNTIF(Оцінки!F2:F16,"&lt;=1")/15</f>
        <v/>
      </c>
      <c r="C4" s="2" t="n">
        <v>0.9330000000000001</v>
      </c>
      <c r="D4" s="2" t="inlineStr">
        <is>
          <t>Лише одна пара з 15 розійшлась більше ніж на 1 бал.</t>
        </is>
      </c>
    </row>
    <row r="5">
      <c r="A5" s="2" t="inlineStr">
        <is>
          <t>Кореляція Пірсона</t>
        </is>
      </c>
      <c r="B5" s="2">
        <f>CORREL(Оцінки!C2:C16,Оцінки!D2:D16)</f>
        <v/>
      </c>
      <c r="C5" s="2" t="n">
        <v>0.757</v>
      </c>
      <c r="D5" s="2" t="inlineStr">
        <is>
          <t>Сильна позитивна кореляція (0,6–0,8): оцінювачі однаково впорядковують критерії.</t>
        </is>
      </c>
    </row>
    <row r="6">
      <c r="A6" s="2" t="inlineStr">
        <is>
          <t>Кореляція Спірмена</t>
        </is>
      </c>
      <c r="B6" s="2" t="inlineStr">
        <is>
          <t>—</t>
        </is>
      </c>
      <c r="C6" s="2" t="n">
        <v>0.755</v>
      </c>
      <c r="D6" s="2" t="inlineStr">
        <is>
          <t>Узгоджена за рангами.</t>
        </is>
      </c>
    </row>
    <row r="7">
      <c r="A7" s="2" t="inlineStr">
        <is>
          <t>Квадратичний κ Коена</t>
        </is>
      </c>
      <c r="B7" s="2" t="inlineStr">
        <is>
          <t>—</t>
        </is>
      </c>
      <c r="C7" s="2" t="n">
        <v>0.6830000000000001</v>
      </c>
      <c r="D7" s="2" t="inlineStr">
        <is>
          <t>«Суттєва» узгодженість (0,61–0,80) за шкалою Лендіса–Коха.</t>
        </is>
      </c>
    </row>
    <row r="8">
      <c r="A8" s="2" t="inlineStr">
        <is>
          <t>Розбіжність по критеріях</t>
        </is>
      </c>
      <c r="B8" s="2" t="inlineStr">
        <is>
          <t>—</t>
        </is>
      </c>
      <c r="C8" s="2" t="inlineStr">
        <is>
          <t>D2 = 1,0; D3 = 1,0; інші 0,0</t>
        </is>
      </c>
      <c r="D8" s="2" t="inlineStr">
        <is>
          <t>Найбільше сперечаються про глибину ієрархії та якість крос-зв'язків — критерії залежать від тлумачення «рівня» й «нетривіальності».</t>
        </is>
      </c>
    </row>
    <row r="9">
      <c r="A9" s="2" t="inlineStr">
        <is>
          <t>Ранги карт</t>
        </is>
      </c>
      <c r="B9" s="2" t="inlineStr">
        <is>
          <t>—</t>
        </is>
      </c>
      <c r="C9" s="2" t="inlineStr">
        <is>
          <t>R1: peer &gt; expert &gt; llm; R2: expert &gt; peer &gt; llm</t>
        </is>
      </c>
      <c r="D9" s="2" t="inlineStr">
        <is>
          <t>Обидва оцінювачі ставлять LLM-карту останньою (немає крос-зв'язків і прикладів).</t>
        </is>
      </c>
    </row>
    <row r="10">
      <c r="A10" s="2" t="inlineStr">
        <is>
          <t>Обмеження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Обидва оцінювачі — незалежні запуски однієї моделі без доступу до відповідей одне одного; це не люди. Колонку «Людина-оцінювач» слід заповнити реальним рецензентом.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110" customWidth="1" min="3" max="3"/>
    <col width="18" customWidth="1" min="4" max="4"/>
  </cols>
  <sheetData>
    <row r="1">
      <c r="A1" s="1" t="inlineStr">
        <is>
          <t>Карта</t>
        </is>
      </c>
      <c r="B1" s="1" t="inlineStr">
        <is>
          <t>№</t>
        </is>
      </c>
      <c r="C1" s="1" t="inlineStr">
        <is>
          <t>Зауваження (оцінювач)</t>
        </is>
      </c>
      <c r="D1" s="1" t="inlineStr">
        <is>
          <t>Враховано у v2</t>
        </is>
      </c>
    </row>
    <row r="2">
      <c r="A2" s="2" t="inlineStr">
        <is>
          <t>Власна (експертна v1)</t>
        </is>
      </c>
      <c r="B2" s="2" t="n">
        <v>1</v>
      </c>
      <c r="C2" s="2" t="inlineStr">
        <is>
          <t>Додати окремі прапорці й пороги: FS &gt; 200 для INDEL (відрізняти від FS &gt; 60 для SNP), MQRankSum &lt; −12,5, а також правило «будь-який прапорець → FILTERED» (CQ03–CQ05).</t>
        </is>
      </c>
      <c r="D2" s="2" t="inlineStr">
        <is>
          <t>V2-01, V2-02</t>
        </is>
      </c>
    </row>
    <row r="3">
      <c r="A3" s="2" t="inlineStr">
        <is>
          <t>Власна (експертна v1)</t>
        </is>
      </c>
      <c r="B3" s="2" t="n">
        <v>2</v>
      </c>
      <c r="C3" s="2" t="inlineStr">
        <is>
          <t>Додати 25% для зведеного брата, тітки/дядька, бабусі/дідуся та рівні спорідненості (first/second/third-degree relative), а також логіку пріоритету: тестувати спершу найближчих доступних родичів, далі наступних; умову віку 18 років (CQ12, CQ14–CQ16).</t>
        </is>
      </c>
      <c r="D3" s="2" t="inlineStr">
        <is>
          <t>V2-03</t>
        </is>
      </c>
    </row>
    <row r="4">
      <c r="A4" s="2" t="inlineStr">
        <is>
          <t>Власна (експертна v1)</t>
        </is>
      </c>
      <c r="B4" s="2" t="n">
        <v>3</v>
      </c>
      <c r="C4" s="2" t="inlineStr">
        <is>
          <t>Виправити неточні або слабкі пропозиції: «strand odds ratio — рекомендований для → exon» не пояснює, що FS штрафує кінці екзонів, тому SOR перевіряють додатково (REVIEW); BRCA1 пов'язано лише з breast cancer, а BRCA2 лише з ovarian cancer, тож додати відсутні зв'язки; прибрати тривіальне «VQSR потребує genetic variant» і замінити на «потребує великої кількості варіантів».</t>
        </is>
      </c>
      <c r="D4" s="2" t="inlineStr">
        <is>
          <t>V2-04, V2-05, V2-06</t>
        </is>
      </c>
    </row>
    <row r="5">
      <c r="A5" s="2" t="inlineStr">
        <is>
          <t>LLM-карта</t>
        </is>
      </c>
      <c r="B5" s="2" t="n">
        <v>1</v>
      </c>
      <c r="C5" s="2" t="inlineStr">
        <is>
          <t>Геномна (фільтрація) і клінічна (BRCA, каскадне тестування) гілки майже не пов'язані: додайте пояснені крос-зв'язки, напр. cascade testing requires pathogenic variant, hard filtering recommended_for gene panel, щоб карта відповідала фокусному питанню про перехід від якості анотацій до рішення.</t>
        </is>
      </c>
      <c r="D5" s="2" t="inlineStr">
        <is>
          <t>V2-07</t>
        </is>
      </c>
    </row>
    <row r="6">
      <c r="A6" s="2" t="inlineStr">
        <is>
          <t>LLM-карта</t>
        </is>
      </c>
      <c r="B6" s="2" t="n">
        <v>2</v>
      </c>
      <c r="C6" s="2" t="inlineStr">
        <is>
          <t>Немає жодних прикладів для родинного ризику (50 %, 25 %, 12,5 %) і порогів для MQRankSum, INDEL-FS, QD; додайте екземпляри через has_example та поняття first/second/third-degree relative, щоб покрити CQ03–CQ04 та CQ11–CQ14.</t>
        </is>
      </c>
      <c r="D6" s="2" t="inlineStr">
        <is>
          <t>V2-03, V2-06</t>
        </is>
      </c>
    </row>
    <row r="7">
      <c r="A7" s="2" t="inlineStr">
        <is>
          <t>LLM-карта</t>
        </is>
      </c>
      <c r="B7" s="2" t="n">
        <v>3</v>
      </c>
      <c r="C7" s="2" t="inlineStr">
        <is>
          <t>Є неточні або надлишкові пропозиції (rank sum test applies_to allele; variant quality score recalibration requires genetic variant; genetic variant has_annotation дублює hard filtering uses; BRCA1 increases_risk_of hereditary cancer дублює пару з раком молочної залози/яєчників); приберіть дублі й додайте логіку рішення: будь-який прапорець - відхилення, VQSR потребує багатьох варіантів, тому для малої панелі hard filtering.</t>
        </is>
      </c>
      <c r="D7" s="2" t="inlineStr">
        <is>
          <t>V2-08</t>
        </is>
      </c>
    </row>
    <row r="8">
      <c r="A8" s="2" t="inlineStr">
        <is>
          <t>Карта «колеги» (LLM-замінник)</t>
        </is>
      </c>
      <c r="B8" s="2" t="n">
        <v>1</v>
      </c>
      <c r="C8" s="2" t="inlineStr">
        <is>
          <t>Виправте неточні пропозиції: variant annotation produces quality by depth, genetic variant has_annotation rank sum test (це тест, а не показник варіанта), variant filtering recommended_for data quality (мета, а не рекомендація); також дублюються пари has_annotation та hard filtering uses.</t>
        </is>
      </c>
      <c r="D8" s="2" t="inlineStr">
        <is>
          <t>V2-08</t>
        </is>
      </c>
    </row>
    <row r="9">
      <c r="A9" s="2" t="inlineStr">
        <is>
          <t>Карта «колеги» (LLM-замінник)</t>
        </is>
      </c>
      <c r="B9" s="2" t="n">
        <v>2</v>
      </c>
      <c r="C9" s="2" t="inlineStr">
        <is>
          <t>Додайте відсутні пороги й правила рішення: FS &gt; 200 для INDEL, MQRankSum &lt; -12,5, будь-який прапорець - FILTERED, виняток для власних порогів, FS на кінцях екзонів з перевіркою SOR (REVIEW); це закриє CQ03–CQ07, CQ09, CQ10.</t>
        </is>
      </c>
      <c r="D9" s="2" t="inlineStr">
        <is>
          <t>V2-06</t>
        </is>
      </c>
    </row>
    <row r="10">
      <c r="A10" s="2" t="inlineStr">
        <is>
          <t>Карта «колеги» (LLM-замінник)</t>
        </is>
      </c>
      <c r="B10" s="2" t="n">
        <v>3</v>
      </c>
      <c r="C10" s="2" t="inlineStr">
        <is>
          <t>Додайте обмеження тестування родичів: вік від 18 років (виняток - дитячий рак), перехід до наступного доступного родича, потреба перевірити, що універсальна панель містить родинний варіант, і неавтоматичність каскаду при невідомій зміні (CQ15–CQ18); вирівняйте напрямок ієрархії (is_a/part_of) для послідовних рівнів.</t>
        </is>
      </c>
      <c r="D10" s="2" t="inlineStr">
        <is>
          <t>V2-07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32" customWidth="1" min="4" max="4"/>
    <col width="18" customWidth="1" min="5" max="5"/>
    <col width="24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Суб'єкт</t>
        </is>
      </c>
      <c r="C1" s="1" t="inlineStr">
        <is>
          <t>Відношення</t>
        </is>
      </c>
      <c r="D1" s="1" t="inlineStr">
        <is>
          <t>Об'єкт</t>
        </is>
      </c>
      <c r="E1" s="1" t="inlineStr">
        <is>
          <t>Є в експертній карті (strict)</t>
        </is>
      </c>
      <c r="F1" s="1" t="inlineStr">
        <is>
          <t>Текстово підтверджено (цитата + ручний перегляд)</t>
        </is>
      </c>
      <c r="G1" s="1" t="inlineStr">
        <is>
          <t>Помилки перевірки</t>
        </is>
      </c>
    </row>
    <row r="2">
      <c r="A2" s="2" t="inlineStr">
        <is>
          <t>L001</t>
        </is>
      </c>
      <c r="B2" s="2" t="inlineStr">
        <is>
          <t>hard filtering</t>
        </is>
      </c>
      <c r="C2" s="2" t="inlineStr">
        <is>
          <t>is_a</t>
        </is>
      </c>
      <c r="D2" s="2" t="inlineStr">
        <is>
          <t>variant filtering</t>
        </is>
      </c>
      <c r="E2" s="2" t="n">
        <v>1</v>
      </c>
      <c r="F2" s="2" t="n">
        <v>1</v>
      </c>
      <c r="G2" s="2" t="inlineStr"/>
    </row>
    <row r="3">
      <c r="A3" s="2" t="inlineStr">
        <is>
          <t>L002</t>
        </is>
      </c>
      <c r="B3" s="2" t="inlineStr">
        <is>
          <t>variant quality score recalibration</t>
        </is>
      </c>
      <c r="C3" s="2" t="inlineStr">
        <is>
          <t>is_a</t>
        </is>
      </c>
      <c r="D3" s="2" t="inlineStr">
        <is>
          <t>variant filtering</t>
        </is>
      </c>
      <c r="E3" s="2" t="n">
        <v>1</v>
      </c>
      <c r="F3" s="2" t="n">
        <v>1</v>
      </c>
      <c r="G3" s="2" t="inlineStr"/>
    </row>
    <row r="4">
      <c r="A4" s="2" t="inlineStr">
        <is>
          <t>L003</t>
        </is>
      </c>
      <c r="B4" s="2" t="inlineStr">
        <is>
          <t>hard filtering</t>
        </is>
      </c>
      <c r="C4" s="2" t="inlineStr">
        <is>
          <t>uses_input</t>
        </is>
      </c>
      <c r="D4" s="2" t="inlineStr">
        <is>
          <t>quality by depth</t>
        </is>
      </c>
      <c r="E4" s="2" t="n">
        <v>1</v>
      </c>
      <c r="F4" s="2" t="n">
        <v>1</v>
      </c>
      <c r="G4" s="2" t="inlineStr"/>
    </row>
    <row r="5">
      <c r="A5" s="2" t="inlineStr">
        <is>
          <t>L004</t>
        </is>
      </c>
      <c r="B5" s="2" t="inlineStr">
        <is>
          <t>hard filtering</t>
        </is>
      </c>
      <c r="C5" s="2" t="inlineStr">
        <is>
          <t>uses_input</t>
        </is>
      </c>
      <c r="D5" s="2" t="inlineStr">
        <is>
          <t>Fisher strand bias</t>
        </is>
      </c>
      <c r="E5" s="2" t="n">
        <v>1</v>
      </c>
      <c r="F5" s="2" t="n">
        <v>1</v>
      </c>
      <c r="G5" s="2" t="inlineStr"/>
    </row>
    <row r="6">
      <c r="A6" s="2" t="inlineStr">
        <is>
          <t>L005</t>
        </is>
      </c>
      <c r="B6" s="2" t="inlineStr">
        <is>
          <t>hard filtering</t>
        </is>
      </c>
      <c r="C6" s="2" t="inlineStr">
        <is>
          <t>uses_input</t>
        </is>
      </c>
      <c r="D6" s="2" t="inlineStr">
        <is>
          <t>strand odds ratio</t>
        </is>
      </c>
      <c r="E6" s="2" t="n">
        <v>1</v>
      </c>
      <c r="F6" s="2" t="n">
        <v>1</v>
      </c>
      <c r="G6" s="2" t="inlineStr"/>
    </row>
    <row r="7">
      <c r="A7" s="2" t="inlineStr">
        <is>
          <t>L006</t>
        </is>
      </c>
      <c r="B7" s="2" t="inlineStr">
        <is>
          <t>hard filtering</t>
        </is>
      </c>
      <c r="C7" s="2" t="inlineStr">
        <is>
          <t>uses_input</t>
        </is>
      </c>
      <c r="D7" s="2" t="inlineStr">
        <is>
          <t>mapping quality</t>
        </is>
      </c>
      <c r="E7" s="2" t="n">
        <v>1</v>
      </c>
      <c r="F7" s="2" t="n">
        <v>1</v>
      </c>
      <c r="G7" s="2" t="inlineStr"/>
    </row>
    <row r="8">
      <c r="A8" s="2" t="inlineStr">
        <is>
          <t>L007</t>
        </is>
      </c>
      <c r="B8" s="2" t="inlineStr">
        <is>
          <t>quality by depth</t>
        </is>
      </c>
      <c r="C8" s="2" t="inlineStr">
        <is>
          <t>has_example</t>
        </is>
      </c>
      <c r="D8" s="2" t="inlineStr">
        <is>
          <t>QD &lt; 2</t>
        </is>
      </c>
      <c r="E8" s="2" t="n">
        <v>1</v>
      </c>
      <c r="F8" s="2" t="n">
        <v>0</v>
      </c>
      <c r="G8" s="2" t="inlineStr">
        <is>
          <t>{'class': 'E5', 'message': "об'єкт «QD &lt; 2» — літерал"}</t>
        </is>
      </c>
    </row>
    <row r="9">
      <c r="A9" s="2" t="inlineStr">
        <is>
          <t>L008</t>
        </is>
      </c>
      <c r="B9" s="2" t="inlineStr">
        <is>
          <t>quality by depth</t>
        </is>
      </c>
      <c r="C9" s="2" t="inlineStr">
        <is>
          <t>uses_input</t>
        </is>
      </c>
      <c r="D9" s="2" t="inlineStr">
        <is>
          <t>read depth</t>
        </is>
      </c>
      <c r="E9" s="2" t="n">
        <v>1</v>
      </c>
      <c r="F9" s="2" t="n">
        <v>1</v>
      </c>
      <c r="G9" s="2" t="inlineStr"/>
    </row>
    <row r="10">
      <c r="A10" s="2" t="inlineStr">
        <is>
          <t>L009</t>
        </is>
      </c>
      <c r="B10" s="2" t="inlineStr">
        <is>
          <t>mapping quality</t>
        </is>
      </c>
      <c r="C10" s="2" t="inlineStr">
        <is>
          <t>applies_to</t>
        </is>
      </c>
      <c r="D10" s="2" t="inlineStr">
        <is>
          <t>sequencing read</t>
        </is>
      </c>
      <c r="E10" s="2" t="n">
        <v>0</v>
      </c>
      <c r="F10" s="2" t="n">
        <v>1</v>
      </c>
      <c r="G10" s="2" t="inlineStr"/>
    </row>
    <row r="11">
      <c r="A11" s="2" t="inlineStr">
        <is>
          <t>L010</t>
        </is>
      </c>
      <c r="B11" s="2" t="inlineStr">
        <is>
          <t>rank sum test</t>
        </is>
      </c>
      <c r="C11" s="2" t="inlineStr">
        <is>
          <t>uses_input</t>
        </is>
      </c>
      <c r="D11" s="2" t="inlineStr">
        <is>
          <t>mapping quality</t>
        </is>
      </c>
      <c r="E11" s="2" t="n">
        <v>0</v>
      </c>
      <c r="F11" s="2" t="n">
        <v>1</v>
      </c>
      <c r="G11" s="2" t="inlineStr"/>
    </row>
    <row r="12">
      <c r="A12" s="2" t="inlineStr">
        <is>
          <t>L011</t>
        </is>
      </c>
      <c r="B12" s="2" t="inlineStr">
        <is>
          <t>rank sum test</t>
        </is>
      </c>
      <c r="C12" s="2" t="inlineStr">
        <is>
          <t>applies_to</t>
        </is>
      </c>
      <c r="D12" s="2" t="inlineStr">
        <is>
          <t>allele</t>
        </is>
      </c>
      <c r="E12" s="2" t="n">
        <v>0</v>
      </c>
      <c r="F12" s="2" t="n">
        <v>0</v>
      </c>
      <c r="G12" s="2" t="inlineStr"/>
    </row>
    <row r="13">
      <c r="A13" s="2" t="inlineStr">
        <is>
          <t>L012</t>
        </is>
      </c>
      <c r="B13" s="2" t="inlineStr">
        <is>
          <t>variant calling</t>
        </is>
      </c>
      <c r="C13" s="2" t="inlineStr">
        <is>
          <t>produces</t>
        </is>
      </c>
      <c r="D13" s="2" t="inlineStr">
        <is>
          <t>VCF file</t>
        </is>
      </c>
      <c r="E13" s="2" t="n">
        <v>1</v>
      </c>
      <c r="F13" s="2" t="n">
        <v>0</v>
      </c>
      <c r="G13" s="2" t="inlineStr"/>
    </row>
    <row r="14">
      <c r="A14" s="2" t="inlineStr">
        <is>
          <t>L013</t>
        </is>
      </c>
      <c r="B14" s="2" t="inlineStr">
        <is>
          <t>variant quality score recalibration</t>
        </is>
      </c>
      <c r="C14" s="2" t="inlineStr">
        <is>
          <t>uses_input</t>
        </is>
      </c>
      <c r="D14" s="2" t="inlineStr">
        <is>
          <t>VCF file</t>
        </is>
      </c>
      <c r="E14" s="2" t="n">
        <v>0</v>
      </c>
      <c r="F14" s="2" t="n">
        <v>1</v>
      </c>
      <c r="G14" s="2" t="inlineStr"/>
    </row>
    <row r="15">
      <c r="A15" s="2" t="inlineStr">
        <is>
          <t>L014</t>
        </is>
      </c>
      <c r="B15" s="2" t="inlineStr">
        <is>
          <t>hard filtering</t>
        </is>
      </c>
      <c r="C15" s="2" t="inlineStr">
        <is>
          <t>applies_to</t>
        </is>
      </c>
      <c r="D15" s="2" t="inlineStr">
        <is>
          <t>genetic variant</t>
        </is>
      </c>
      <c r="E15" s="2" t="n">
        <v>0</v>
      </c>
      <c r="F15" s="2" t="n">
        <v>1</v>
      </c>
      <c r="G15" s="2" t="inlineStr"/>
    </row>
    <row r="16">
      <c r="A16" s="2" t="inlineStr">
        <is>
          <t>L015</t>
        </is>
      </c>
      <c r="B16" s="2" t="inlineStr">
        <is>
          <t>variant quality score recalibration</t>
        </is>
      </c>
      <c r="C16" s="2" t="inlineStr">
        <is>
          <t>requires</t>
        </is>
      </c>
      <c r="D16" s="2" t="inlineStr">
        <is>
          <t>genetic variant</t>
        </is>
      </c>
      <c r="E16" s="2" t="n">
        <v>1</v>
      </c>
      <c r="F16" s="2" t="n">
        <v>1</v>
      </c>
      <c r="G16" s="2" t="inlineStr"/>
    </row>
    <row r="17">
      <c r="A17" s="2" t="inlineStr">
        <is>
          <t>L016</t>
        </is>
      </c>
      <c r="B17" s="2" t="inlineStr">
        <is>
          <t>strand odds ratio</t>
        </is>
      </c>
      <c r="C17" s="2" t="inlineStr">
        <is>
          <t>has_example</t>
        </is>
      </c>
      <c r="D17" s="2" t="inlineStr">
        <is>
          <t>SOR &gt; 3</t>
        </is>
      </c>
      <c r="E17" s="2" t="n">
        <v>1</v>
      </c>
      <c r="F17" s="2" t="n">
        <v>0</v>
      </c>
      <c r="G17" s="2" t="inlineStr">
        <is>
          <t>{'class': 'E5', 'message': "об'єкт «SOR &gt; 3» — літерал"}</t>
        </is>
      </c>
    </row>
    <row r="18">
      <c r="A18" s="2" t="inlineStr">
        <is>
          <t>L017</t>
        </is>
      </c>
      <c r="B18" s="2" t="inlineStr">
        <is>
          <t>mapping quality</t>
        </is>
      </c>
      <c r="C18" s="2" t="inlineStr">
        <is>
          <t>has_example</t>
        </is>
      </c>
      <c r="D18" s="2" t="inlineStr">
        <is>
          <t>MQ &lt; 40</t>
        </is>
      </c>
      <c r="E18" s="2" t="n">
        <v>1</v>
      </c>
      <c r="F18" s="2" t="n">
        <v>0</v>
      </c>
      <c r="G18" s="2" t="inlineStr">
        <is>
          <t>{'class': 'E5', 'message': "об'єкт «MQ &lt; 40» — літерал"}</t>
        </is>
      </c>
    </row>
    <row r="19">
      <c r="A19" s="2" t="inlineStr">
        <is>
          <t>L018</t>
        </is>
      </c>
      <c r="B19" s="2" t="inlineStr">
        <is>
          <t>Fisher strand bias</t>
        </is>
      </c>
      <c r="C19" s="2" t="inlineStr">
        <is>
          <t>has_example</t>
        </is>
      </c>
      <c r="D19" s="2" t="inlineStr">
        <is>
          <t>FS &gt; 60</t>
        </is>
      </c>
      <c r="E19" s="2" t="n">
        <v>1</v>
      </c>
      <c r="F19" s="2" t="n">
        <v>0</v>
      </c>
      <c r="G19" s="2" t="inlineStr">
        <is>
          <t>{'class': 'E5', 'message': "об'єкт «FS &gt; 60» — літерал"}</t>
        </is>
      </c>
    </row>
    <row r="20">
      <c r="A20" s="2" t="inlineStr">
        <is>
          <t>L019</t>
        </is>
      </c>
      <c r="B20" s="2" t="inlineStr">
        <is>
          <t>hard filtering</t>
        </is>
      </c>
      <c r="C20" s="2" t="inlineStr">
        <is>
          <t>uses_input</t>
        </is>
      </c>
      <c r="D20" s="2" t="inlineStr">
        <is>
          <t>rank sum test</t>
        </is>
      </c>
      <c r="E20" s="2" t="n">
        <v>1</v>
      </c>
      <c r="F20" s="2" t="n">
        <v>1</v>
      </c>
      <c r="G20" s="2" t="inlineStr"/>
    </row>
    <row r="21">
      <c r="A21" s="2" t="inlineStr">
        <is>
          <t>L020</t>
        </is>
      </c>
      <c r="B21" s="2" t="inlineStr">
        <is>
          <t>hard filtering</t>
        </is>
      </c>
      <c r="C21" s="2" t="inlineStr">
        <is>
          <t>applies_to</t>
        </is>
      </c>
      <c r="D21" s="2" t="inlineStr">
        <is>
          <t>germline variant</t>
        </is>
      </c>
      <c r="E21" s="2" t="n">
        <v>0</v>
      </c>
      <c r="F21" s="2" t="n">
        <v>0</v>
      </c>
      <c r="G21" s="2" t="inlineStr"/>
    </row>
    <row r="22">
      <c r="A22" s="2" t="inlineStr">
        <is>
          <t>L021</t>
        </is>
      </c>
      <c r="B22" s="2" t="inlineStr">
        <is>
          <t>variant quality score recalibration</t>
        </is>
      </c>
      <c r="C22" s="2" t="inlineStr">
        <is>
          <t>recommended_for</t>
        </is>
      </c>
      <c r="D22" s="2" t="inlineStr">
        <is>
          <t>germline variant</t>
        </is>
      </c>
      <c r="E22" s="2" t="n">
        <v>0</v>
      </c>
      <c r="F22" s="2" t="n">
        <v>1</v>
      </c>
      <c r="G22" s="2" t="inlineStr"/>
    </row>
    <row r="23">
      <c r="A23" s="2" t="inlineStr">
        <is>
          <t>L022</t>
        </is>
      </c>
      <c r="B23" s="2" t="inlineStr">
        <is>
          <t>genetic variant</t>
        </is>
      </c>
      <c r="C23" s="2" t="inlineStr">
        <is>
          <t>has_annotation</t>
        </is>
      </c>
      <c r="D23" s="2" t="inlineStr">
        <is>
          <t>Fisher strand bias</t>
        </is>
      </c>
      <c r="E23" s="2" t="n">
        <v>1</v>
      </c>
      <c r="F23" s="2" t="n">
        <v>1</v>
      </c>
      <c r="G23" s="2" t="inlineStr"/>
    </row>
    <row r="24">
      <c r="A24" s="2" t="inlineStr">
        <is>
          <t>L023</t>
        </is>
      </c>
      <c r="B24" s="2" t="inlineStr">
        <is>
          <t>genetic variant</t>
        </is>
      </c>
      <c r="C24" s="2" t="inlineStr">
        <is>
          <t>has_annotation</t>
        </is>
      </c>
      <c r="D24" s="2" t="inlineStr">
        <is>
          <t>strand odds ratio</t>
        </is>
      </c>
      <c r="E24" s="2" t="n">
        <v>1</v>
      </c>
      <c r="F24" s="2" t="n">
        <v>1</v>
      </c>
      <c r="G24" s="2" t="inlineStr"/>
    </row>
    <row r="25">
      <c r="A25" s="2" t="inlineStr">
        <is>
          <t>L024</t>
        </is>
      </c>
      <c r="B25" s="2" t="inlineStr">
        <is>
          <t>genetic variant</t>
        </is>
      </c>
      <c r="C25" s="2" t="inlineStr">
        <is>
          <t>has_annotation</t>
        </is>
      </c>
      <c r="D25" s="2" t="inlineStr">
        <is>
          <t>quality by depth</t>
        </is>
      </c>
      <c r="E25" s="2" t="n">
        <v>1</v>
      </c>
      <c r="F25" s="2" t="n">
        <v>1</v>
      </c>
      <c r="G25" s="2" t="inlineStr"/>
    </row>
    <row r="26">
      <c r="A26" s="2" t="inlineStr">
        <is>
          <t>L025</t>
        </is>
      </c>
      <c r="B26" s="2" t="inlineStr">
        <is>
          <t>BRCA1</t>
        </is>
      </c>
      <c r="C26" s="2" t="inlineStr">
        <is>
          <t>increases_risk_of</t>
        </is>
      </c>
      <c r="D26" s="2" t="inlineStr">
        <is>
          <t>breast cancer</t>
        </is>
      </c>
      <c r="E26" s="2" t="n">
        <v>1</v>
      </c>
      <c r="F26" s="2" t="n">
        <v>1</v>
      </c>
      <c r="G26" s="2" t="inlineStr"/>
    </row>
    <row r="27">
      <c r="A27" s="2" t="inlineStr">
        <is>
          <t>L026</t>
        </is>
      </c>
      <c r="B27" s="2" t="inlineStr">
        <is>
          <t>BRCA1</t>
        </is>
      </c>
      <c r="C27" s="2" t="inlineStr">
        <is>
          <t>increases_risk_of</t>
        </is>
      </c>
      <c r="D27" s="2" t="inlineStr">
        <is>
          <t>ovarian cancer</t>
        </is>
      </c>
      <c r="E27" s="2" t="n">
        <v>0</v>
      </c>
      <c r="F27" s="2" t="n">
        <v>1</v>
      </c>
      <c r="G27" s="2" t="inlineStr"/>
    </row>
    <row r="28">
      <c r="A28" s="2" t="inlineStr">
        <is>
          <t>L027</t>
        </is>
      </c>
      <c r="B28" s="2" t="inlineStr">
        <is>
          <t>BRCA2</t>
        </is>
      </c>
      <c r="C28" s="2" t="inlineStr">
        <is>
          <t>increases_risk_of</t>
        </is>
      </c>
      <c r="D28" s="2" t="inlineStr">
        <is>
          <t>breast cancer</t>
        </is>
      </c>
      <c r="E28" s="2" t="n">
        <v>0</v>
      </c>
      <c r="F28" s="2" t="n">
        <v>1</v>
      </c>
      <c r="G28" s="2" t="inlineStr"/>
    </row>
    <row r="29">
      <c r="A29" s="2" t="inlineStr">
        <is>
          <t>L028</t>
        </is>
      </c>
      <c r="B29" s="2" t="inlineStr">
        <is>
          <t>BRCA2</t>
        </is>
      </c>
      <c r="C29" s="2" t="inlineStr">
        <is>
          <t>increases_risk_of</t>
        </is>
      </c>
      <c r="D29" s="2" t="inlineStr">
        <is>
          <t>ovarian cancer</t>
        </is>
      </c>
      <c r="E29" s="2" t="n">
        <v>1</v>
      </c>
      <c r="F29" s="2" t="n">
        <v>1</v>
      </c>
      <c r="G29" s="2" t="inlineStr"/>
    </row>
    <row r="30">
      <c r="A30" s="2" t="inlineStr">
        <is>
          <t>L029</t>
        </is>
      </c>
      <c r="B30" s="2" t="inlineStr">
        <is>
          <t>BRCA1</t>
        </is>
      </c>
      <c r="C30" s="2" t="inlineStr">
        <is>
          <t>increases_risk_of</t>
        </is>
      </c>
      <c r="D30" s="2" t="inlineStr">
        <is>
          <t>hereditary cancer</t>
        </is>
      </c>
      <c r="E30" s="2" t="n">
        <v>0</v>
      </c>
      <c r="F30" s="2" t="n">
        <v>1</v>
      </c>
      <c r="G30" s="2" t="inlineStr"/>
    </row>
    <row r="31">
      <c r="A31" s="2" t="inlineStr">
        <is>
          <t>L030</t>
        </is>
      </c>
      <c r="B31" s="2" t="inlineStr">
        <is>
          <t>genetic variant</t>
        </is>
      </c>
      <c r="C31" s="2" t="inlineStr">
        <is>
          <t>increases_risk_of</t>
        </is>
      </c>
      <c r="D31" s="2" t="inlineStr">
        <is>
          <t>hereditary cancer</t>
        </is>
      </c>
      <c r="E31" s="2" t="n">
        <v>0</v>
      </c>
      <c r="F31" s="2" t="n">
        <v>1</v>
      </c>
      <c r="G31" s="2" t="inlineStr"/>
    </row>
    <row r="32">
      <c r="A32" s="2" t="inlineStr">
        <is>
          <t>L031</t>
        </is>
      </c>
      <c r="B32" s="2" t="inlineStr">
        <is>
          <t>cascade testing</t>
        </is>
      </c>
      <c r="C32" s="2" t="inlineStr">
        <is>
          <t>applies_to</t>
        </is>
      </c>
      <c r="D32" s="2" t="inlineStr">
        <is>
          <t>relative</t>
        </is>
      </c>
      <c r="E32" s="2" t="n">
        <v>1</v>
      </c>
      <c r="F32" s="2" t="n">
        <v>1</v>
      </c>
      <c r="G32" s="2" t="inlineStr"/>
    </row>
    <row r="33">
      <c r="A33" s="2" t="inlineStr">
        <is>
          <t>L032</t>
        </is>
      </c>
      <c r="B33" s="2" t="inlineStr">
        <is>
          <t>cascade testing</t>
        </is>
      </c>
      <c r="C33" s="2" t="inlineStr">
        <is>
          <t>detects</t>
        </is>
      </c>
      <c r="D33" s="2" t="inlineStr">
        <is>
          <t>genetic variant</t>
        </is>
      </c>
      <c r="E33" s="2" t="n">
        <v>0</v>
      </c>
      <c r="F33" s="2" t="n">
        <v>1</v>
      </c>
      <c r="G33" s="2" t="inlineStr"/>
    </row>
    <row r="34">
      <c r="A34" s="2" t="inlineStr">
        <is>
          <t>L033</t>
        </is>
      </c>
      <c r="B34" s="2" t="inlineStr">
        <is>
          <t>cascade testing</t>
        </is>
      </c>
      <c r="C34" s="2" t="inlineStr">
        <is>
          <t>detects</t>
        </is>
      </c>
      <c r="D34" s="2" t="inlineStr">
        <is>
          <t>BRCA1</t>
        </is>
      </c>
      <c r="E34" s="2" t="n">
        <v>0</v>
      </c>
      <c r="F34" s="2" t="n">
        <v>0</v>
      </c>
      <c r="G34" s="2" t="inlineStr"/>
    </row>
    <row r="35">
      <c r="A35" s="2" t="inlineStr">
        <is>
          <t>L034</t>
        </is>
      </c>
      <c r="B35" s="2" t="inlineStr">
        <is>
          <t>cascade testing</t>
        </is>
      </c>
      <c r="C35" s="2" t="inlineStr">
        <is>
          <t>detects</t>
        </is>
      </c>
      <c r="D35" s="2" t="inlineStr">
        <is>
          <t>BRCA2</t>
        </is>
      </c>
      <c r="E35" s="2" t="n">
        <v>0</v>
      </c>
      <c r="F35" s="2" t="n">
        <v>0</v>
      </c>
      <c r="G35" s="2" t="inlineStr"/>
    </row>
    <row r="36">
      <c r="A36" s="2" t="inlineStr">
        <is>
          <t>L035</t>
        </is>
      </c>
      <c r="B36" s="2" t="inlineStr">
        <is>
          <t>relative</t>
        </is>
      </c>
      <c r="C36" s="2" t="inlineStr">
        <is>
          <t>is_kin_of</t>
        </is>
      </c>
      <c r="D36" s="2" t="inlineStr">
        <is>
          <t>proband</t>
        </is>
      </c>
      <c r="E36" s="2" t="n">
        <v>1</v>
      </c>
      <c r="F36" s="2" t="n">
        <v>1</v>
      </c>
      <c r="G36" s="2" t="inlineStr"/>
    </row>
    <row r="37">
      <c r="A37" s="2" t="inlineStr">
        <is>
          <t>L036</t>
        </is>
      </c>
      <c r="B37" s="2" t="inlineStr">
        <is>
          <t>genetic testing</t>
        </is>
      </c>
      <c r="C37" s="2" t="inlineStr">
        <is>
          <t>recommended_for</t>
        </is>
      </c>
      <c r="D37" s="2" t="inlineStr">
        <is>
          <t>breast cancer</t>
        </is>
      </c>
      <c r="E37" s="2" t="n">
        <v>0</v>
      </c>
      <c r="F37" s="2" t="n">
        <v>1</v>
      </c>
      <c r="G37" s="2" t="inlineStr"/>
    </row>
    <row r="38">
      <c r="A38" s="2" t="inlineStr">
        <is>
          <t>L037</t>
        </is>
      </c>
      <c r="B38" s="2" t="inlineStr">
        <is>
          <t>genetic testing</t>
        </is>
      </c>
      <c r="C38" s="2" t="inlineStr">
        <is>
          <t>recommended_for</t>
        </is>
      </c>
      <c r="D38" s="2" t="inlineStr">
        <is>
          <t>ovarian cancer</t>
        </is>
      </c>
      <c r="E38" s="2" t="n">
        <v>0</v>
      </c>
      <c r="F38" s="2" t="n">
        <v>1</v>
      </c>
      <c r="G38" s="2" t="inlineStr"/>
    </row>
    <row r="39">
      <c r="A39" s="2" t="inlineStr">
        <is>
          <t>L038</t>
        </is>
      </c>
      <c r="B39" s="2" t="inlineStr">
        <is>
          <t>genetic testing</t>
        </is>
      </c>
      <c r="C39" s="2" t="inlineStr">
        <is>
          <t>detects</t>
        </is>
      </c>
      <c r="D39" s="2" t="inlineStr">
        <is>
          <t>BRCA1</t>
        </is>
      </c>
      <c r="E39" s="2" t="n">
        <v>0</v>
      </c>
      <c r="F39" s="2" t="n">
        <v>0</v>
      </c>
      <c r="G39" s="2" t="inlineStr"/>
    </row>
    <row r="40">
      <c r="A40" s="2" t="inlineStr">
        <is>
          <t>L039</t>
        </is>
      </c>
      <c r="B40" s="2" t="inlineStr">
        <is>
          <t>genetic testing</t>
        </is>
      </c>
      <c r="C40" s="2" t="inlineStr">
        <is>
          <t>detects</t>
        </is>
      </c>
      <c r="D40" s="2" t="inlineStr">
        <is>
          <t>BRCA2</t>
        </is>
      </c>
      <c r="E40" s="2" t="n">
        <v>0</v>
      </c>
      <c r="F40" s="2" t="n">
        <v>0</v>
      </c>
      <c r="G40" s="2" t="inlineStr"/>
    </row>
    <row r="41">
      <c r="A41" s="2" t="inlineStr">
        <is>
          <t>L040</t>
        </is>
      </c>
      <c r="B41" s="2" t="inlineStr">
        <is>
          <t>genetic counseling</t>
        </is>
      </c>
      <c r="C41" s="2" t="inlineStr">
        <is>
          <t>applies_to</t>
        </is>
      </c>
      <c r="D41" s="2" t="inlineStr">
        <is>
          <t>relative</t>
        </is>
      </c>
      <c r="E41" s="2" t="n">
        <v>0</v>
      </c>
      <c r="F41" s="2" t="n">
        <v>1</v>
      </c>
      <c r="G41" s="2" t="inlineStr"/>
    </row>
    <row r="42">
      <c r="A42" s="2" t="inlineStr">
        <is>
          <t>L041</t>
        </is>
      </c>
      <c r="B42" s="2" t="inlineStr">
        <is>
          <t>genetic counseling</t>
        </is>
      </c>
      <c r="C42" s="2" t="inlineStr">
        <is>
          <t>produces</t>
        </is>
      </c>
      <c r="D42" s="2" t="inlineStr">
        <is>
          <t>risk assessment</t>
        </is>
      </c>
      <c r="E42" s="2" t="n">
        <v>0</v>
      </c>
      <c r="F42" s="2" t="n">
        <v>0</v>
      </c>
      <c r="G42" s="2" t="inlineStr">
        <is>
          <t>{'class': 'E3', 'message': 'range produces: Method and procedure не дозволено'}</t>
        </is>
      </c>
    </row>
    <row r="44">
      <c r="A44" s="3" t="inlineStr">
        <is>
          <t>TP</t>
        </is>
      </c>
      <c r="B44">
        <f>SUM(E2:E42)</f>
        <v/>
      </c>
    </row>
    <row r="45">
      <c r="A45" s="3" t="inlineStr">
        <is>
          <t>Передбачено (LLM)</t>
        </is>
      </c>
      <c r="B45">
        <f>COUNTA(A2:A42)</f>
        <v/>
      </c>
    </row>
    <row r="46">
      <c r="A46" s="3" t="inlineStr">
        <is>
          <t>Еталон (експерт v1)</t>
        </is>
      </c>
      <c r="B46" t="n">
        <v>49</v>
      </c>
    </row>
    <row r="47">
      <c r="A47" s="3" t="inlineStr">
        <is>
          <t>Precision</t>
        </is>
      </c>
      <c r="B47">
        <f>B44/B45</f>
        <v/>
      </c>
    </row>
    <row r="48">
      <c r="A48" s="3" t="inlineStr">
        <is>
          <t>Recall</t>
        </is>
      </c>
      <c r="B48">
        <f>B44/B46</f>
        <v/>
      </c>
    </row>
    <row r="49">
      <c r="A49" s="3" t="inlineStr">
        <is>
          <t>F1</t>
        </is>
      </c>
      <c r="B49">
        <f>2*B47*B48/(B47+B48)</f>
        <v/>
      </c>
    </row>
    <row r="50">
      <c r="A50" s="3" t="inlineStr">
        <is>
          <t>Text-supported precision</t>
        </is>
      </c>
      <c r="B50">
        <f>SUM(F2:F42)/COUNTA(A2:A42)</f>
        <v/>
      </c>
    </row>
    <row r="52">
      <c r="A52" t="inlineStr">
        <is>
          <t>Примітка: strict — збіг точного (s,p,o). Recall занижений, бо експертна карта не є повним еталоном: частина LLM-триплетів справді є в тексті (див. Text-supported precision).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Карта</t>
        </is>
      </c>
      <c r="B1" s="1" t="inlineStr">
        <is>
          <t>Понять</t>
        </is>
      </c>
      <c r="C1" s="1" t="inlineStr">
        <is>
          <t>Екземплярів</t>
        </is>
      </c>
      <c r="D1" s="1" t="inlineStr">
        <is>
          <t>Пропозицій</t>
        </is>
      </c>
      <c r="E1" s="1" t="inlineStr">
        <is>
          <t>Крос-зв'язків</t>
        </is>
      </c>
      <c r="F1" s="1" t="inlineStr">
        <is>
          <t>related_to, %</t>
        </is>
      </c>
    </row>
    <row r="2">
      <c r="A2" s="2" t="inlineStr">
        <is>
          <t>expert</t>
        </is>
      </c>
      <c r="B2" s="2" t="n">
        <v>33</v>
      </c>
      <c r="C2" s="2" t="n">
        <v>6</v>
      </c>
      <c r="D2" s="2" t="n">
        <v>49</v>
      </c>
      <c r="E2" s="2" t="n">
        <v>5</v>
      </c>
      <c r="F2" s="2" t="n">
        <v>0</v>
      </c>
    </row>
    <row r="3">
      <c r="A3" s="2" t="inlineStr">
        <is>
          <t>peer</t>
        </is>
      </c>
      <c r="B3" s="2" t="n">
        <v>35</v>
      </c>
      <c r="C3" s="2" t="n">
        <v>7</v>
      </c>
      <c r="D3" s="2" t="n">
        <v>53</v>
      </c>
      <c r="E3" s="2" t="n">
        <v>5</v>
      </c>
      <c r="F3" s="2" t="n">
        <v>0</v>
      </c>
    </row>
    <row r="4">
      <c r="A4" s="2" t="inlineStr">
        <is>
          <t>v2</t>
        </is>
      </c>
      <c r="B4" s="2" t="n">
        <v>39</v>
      </c>
      <c r="C4" s="2" t="n">
        <v>12</v>
      </c>
      <c r="D4" s="2" t="n">
        <v>72</v>
      </c>
      <c r="E4" s="2" t="n">
        <v>5</v>
      </c>
      <c r="F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2026-10-28T16:17:41Z</dcterms:created>
  <dcterms:modified xsi:type="dcterms:W3CDTF">2026-10-28T16:17:41Z</dcterms:modified>
</cp:coreProperties>
</file>